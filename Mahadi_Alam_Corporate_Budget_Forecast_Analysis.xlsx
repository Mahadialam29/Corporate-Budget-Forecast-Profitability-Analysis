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adialam/Desktop/Projects/"/>
    </mc:Choice>
  </mc:AlternateContent>
  <xr:revisionPtr revIDLastSave="0" documentId="8_{BB9AB3C0-3493-FE4B-AD40-F47E6D5584B1}" xr6:coauthVersionLast="47" xr6:coauthVersionMax="47" xr10:uidLastSave="{00000000-0000-0000-0000-000000000000}"/>
  <bookViews>
    <workbookView xWindow="380" yWindow="500" windowWidth="28040" windowHeight="16120" xr2:uid="{58F6968B-ED95-8049-A2BA-282C8255944E}"/>
  </bookViews>
  <sheets>
    <sheet name="README" sheetId="1" r:id="rId1"/>
    <sheet name="Monthly Data" sheetId="2" r:id="rId2"/>
    <sheet name="Variance Analysis " sheetId="3" r:id="rId3"/>
    <sheet name="Forecast" sheetId="4" r:id="rId4"/>
    <sheet name="Dashboard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B4" i="3"/>
  <c r="B4" i="4" s="1"/>
  <c r="S5" i="2"/>
  <c r="S6" i="2"/>
  <c r="S7" i="2"/>
  <c r="S8" i="2"/>
  <c r="S9" i="2"/>
  <c r="S10" i="2"/>
  <c r="S11" i="2"/>
  <c r="R5" i="2"/>
  <c r="R6" i="2"/>
  <c r="R7" i="2"/>
  <c r="R8" i="2"/>
  <c r="R9" i="2"/>
  <c r="R10" i="2"/>
  <c r="R11" i="2"/>
  <c r="Q5" i="2"/>
  <c r="Q6" i="2"/>
  <c r="Q7" i="2"/>
  <c r="Q8" i="2"/>
  <c r="Q9" i="2"/>
  <c r="Q10" i="2"/>
  <c r="Q11" i="2"/>
  <c r="S4" i="2"/>
  <c r="R4" i="2"/>
  <c r="Q4" i="2"/>
  <c r="G6" i="4"/>
  <c r="E6" i="4"/>
  <c r="G5" i="4"/>
  <c r="G4" i="4"/>
  <c r="C7" i="3"/>
  <c r="C6" i="4" s="1"/>
  <c r="B7" i="3"/>
  <c r="B6" i="4" s="1"/>
  <c r="C5" i="3"/>
  <c r="C5" i="4" s="1"/>
  <c r="B5" i="3"/>
  <c r="B5" i="4" s="1"/>
  <c r="C4" i="3"/>
  <c r="C4" i="4" s="1"/>
  <c r="K5" i="2"/>
  <c r="K11" i="2"/>
  <c r="J7" i="2"/>
  <c r="J8" i="2"/>
  <c r="J12" i="2"/>
  <c r="J13" i="2"/>
  <c r="J14" i="2"/>
  <c r="J15" i="2"/>
  <c r="J6" i="2"/>
  <c r="J5" i="2"/>
  <c r="I5" i="2"/>
  <c r="M5" i="2" s="1"/>
  <c r="O5" i="2" s="1"/>
  <c r="I6" i="2"/>
  <c r="K6" i="2" s="1"/>
  <c r="I7" i="2"/>
  <c r="K7" i="2" s="1"/>
  <c r="I8" i="2"/>
  <c r="K8" i="2" s="1"/>
  <c r="I9" i="2"/>
  <c r="K9" i="2" s="1"/>
  <c r="I10" i="2"/>
  <c r="M10" i="2" s="1"/>
  <c r="O10" i="2" s="1"/>
  <c r="I11" i="2"/>
  <c r="M11" i="2" s="1"/>
  <c r="O11" i="2" s="1"/>
  <c r="H5" i="2"/>
  <c r="L5" i="2" s="1"/>
  <c r="N5" i="2" s="1"/>
  <c r="H6" i="2"/>
  <c r="L6" i="2" s="1"/>
  <c r="N6" i="2" s="1"/>
  <c r="H7" i="2"/>
  <c r="L7" i="2" s="1"/>
  <c r="N7" i="2" s="1"/>
  <c r="H8" i="2"/>
  <c r="L8" i="2" s="1"/>
  <c r="N8" i="2" s="1"/>
  <c r="H9" i="2"/>
  <c r="J9" i="2" s="1"/>
  <c r="H10" i="2"/>
  <c r="J10" i="2" s="1"/>
  <c r="H11" i="2"/>
  <c r="L11" i="2" s="1"/>
  <c r="N11" i="2" s="1"/>
  <c r="H12" i="2"/>
  <c r="L12" i="2" s="1"/>
  <c r="N12" i="2" s="1"/>
  <c r="H13" i="2"/>
  <c r="L13" i="2" s="1"/>
  <c r="N13" i="2" s="1"/>
  <c r="H14" i="2"/>
  <c r="L14" i="2" s="1"/>
  <c r="N14" i="2" s="1"/>
  <c r="H15" i="2"/>
  <c r="L15" i="2" s="1"/>
  <c r="N15" i="2" s="1"/>
  <c r="I4" i="2"/>
  <c r="C6" i="3" s="1"/>
  <c r="H4" i="2"/>
  <c r="B6" i="3" s="1"/>
  <c r="B7" i="4" s="1"/>
  <c r="D6" i="3" l="1"/>
  <c r="E6" i="3" s="1"/>
  <c r="L10" i="2"/>
  <c r="N10" i="2" s="1"/>
  <c r="M9" i="2"/>
  <c r="O9" i="2" s="1"/>
  <c r="L4" i="2"/>
  <c r="L9" i="2"/>
  <c r="N9" i="2" s="1"/>
  <c r="M8" i="2"/>
  <c r="O8" i="2" s="1"/>
  <c r="M4" i="2"/>
  <c r="M7" i="2"/>
  <c r="O7" i="2" s="1"/>
  <c r="D7" i="3"/>
  <c r="E7" i="3" s="1"/>
  <c r="K10" i="2"/>
  <c r="M6" i="2"/>
  <c r="O6" i="2" s="1"/>
  <c r="J4" i="2"/>
  <c r="J11" i="2"/>
  <c r="D5" i="3"/>
  <c r="E5" i="3" s="1"/>
  <c r="E7" i="4"/>
  <c r="E8" i="4" s="1"/>
  <c r="K4" i="2"/>
  <c r="G7" i="4"/>
  <c r="G8" i="4" s="1"/>
  <c r="E4" i="5" s="1"/>
  <c r="D4" i="4"/>
  <c r="F4" i="4" s="1"/>
  <c r="H4" i="4" s="1"/>
  <c r="D6" i="4"/>
  <c r="F6" i="4" s="1"/>
  <c r="H6" i="4" s="1"/>
  <c r="I6" i="4" s="1"/>
  <c r="J6" i="4" s="1"/>
  <c r="C7" i="4"/>
  <c r="D7" i="4" s="1"/>
  <c r="A4" i="5"/>
  <c r="D5" i="4"/>
  <c r="F5" i="4" s="1"/>
  <c r="H5" i="4" s="1"/>
  <c r="I5" i="4" s="1"/>
  <c r="J5" i="4" s="1"/>
  <c r="D4" i="3"/>
  <c r="E4" i="3" s="1"/>
  <c r="O4" i="2" l="1"/>
  <c r="C8" i="3"/>
  <c r="N4" i="2"/>
  <c r="B8" i="3"/>
  <c r="B8" i="4" s="1"/>
  <c r="F7" i="4"/>
  <c r="F8" i="4" s="1"/>
  <c r="H7" i="4"/>
  <c r="I4" i="4"/>
  <c r="J4" i="4" s="1"/>
  <c r="A8" i="5" s="1"/>
  <c r="C4" i="5"/>
  <c r="D8" i="3" l="1"/>
  <c r="E8" i="3" s="1"/>
  <c r="C8" i="4"/>
  <c r="D8" i="4" s="1"/>
  <c r="H8" i="4"/>
  <c r="I7" i="4"/>
  <c r="J7" i="4" s="1"/>
  <c r="G4" i="5" l="1"/>
  <c r="I8" i="4"/>
  <c r="J8" i="4" s="1"/>
  <c r="C8" i="5" s="1"/>
</calcChain>
</file>

<file path=xl/sharedStrings.xml><?xml version="1.0" encoding="utf-8"?>
<sst xmlns="http://schemas.openxmlformats.org/spreadsheetml/2006/main" count="87" uniqueCount="76">
  <si>
    <t>CORPORATE BUDGET, FORECAST &amp; PROFITABILITY ANALYSIS</t>
  </si>
  <si>
    <t xml:space="preserve">Project Overview </t>
  </si>
  <si>
    <t>This project simulates the work of a junior Financial Analyst supporting a consumer-products company. The analysis compares monthly budget and actual financial performance, evaluates revenue and profitability variances, develops a simple year-end forecast, and summarizes results in Excel and Power BI.</t>
  </si>
  <si>
    <t xml:space="preserve">Objective </t>
  </si>
  <si>
    <t>Evaluate whether the company is meeting its revenue and profitability targets, identify the largest budget variances, and estimate full-year financial performance.</t>
  </si>
  <si>
    <t xml:space="preserve">Skills Demonstrated </t>
  </si>
  <si>
    <t>Budget vs Actual Analysis</t>
  </si>
  <si>
    <t>Revenue Analysis</t>
  </si>
  <si>
    <t>Profitability Analysis</t>
  </si>
  <si>
    <t>Variance Analysis</t>
  </si>
  <si>
    <t>Financial Forecasting</t>
  </si>
  <si>
    <t>Microsoft Excel</t>
  </si>
  <si>
    <t>Power BI</t>
  </si>
  <si>
    <t>Dashboard Development</t>
  </si>
  <si>
    <t>Data Note</t>
  </si>
  <si>
    <t>All financial data in this project is synthetic and was created solely for portfolio and educational purposes.</t>
  </si>
  <si>
    <t>MAPLEPEAK CONSUMER PRODUCTS — MONTHLY FINANCIAL DATA</t>
  </si>
  <si>
    <t>Month</t>
  </si>
  <si>
    <t>Budget Revenue</t>
  </si>
  <si>
    <t>Actual Revenue</t>
  </si>
  <si>
    <t>Budget COGS</t>
  </si>
  <si>
    <t>Actual COGS</t>
  </si>
  <si>
    <t>Budget Operating Expenses</t>
  </si>
  <si>
    <t>Actual Operating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</si>
  <si>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</si>
  <si>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</si>
  <si>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</si>
  <si>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</si>
  <si>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</si>
  <si>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</si>
  <si>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</si>
  <si>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</si>
  <si>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</si>
  <si>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</si>
  <si>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</si>
  <si>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</si>
  <si>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Budget Gross Profit</t>
  </si>
  <si>
    <t>Actual Gross Profit</t>
  </si>
  <si>
    <t>Budget Gross Margin %</t>
  </si>
  <si>
    <t>Actual Gross Margin %</t>
  </si>
  <si>
    <t>Budget Operating Profit</t>
  </si>
  <si>
    <t>Actual Operating Profit</t>
  </si>
  <si>
    <t>Budget Operating Margin %</t>
  </si>
  <si>
    <t>Actual Operating Margin %</t>
  </si>
  <si>
    <t>YTD BUDGET VS ACTUAL ANALYSIS — JANUARY TO AUGUST</t>
  </si>
  <si>
    <t>Metric</t>
  </si>
  <si>
    <t>YTD Budget</t>
  </si>
  <si>
    <t>YTD Actual</t>
  </si>
  <si>
    <t>Variance $</t>
  </si>
  <si>
    <t>Variance %</t>
  </si>
  <si>
    <t>Interpretation</t>
  </si>
  <si>
    <t>Revenue</t>
  </si>
  <si>
    <t>COGS</t>
  </si>
  <si>
    <t>Gross Profit</t>
  </si>
  <si>
    <t>Operating Expenses</t>
  </si>
  <si>
    <t>Operating Profit</t>
  </si>
  <si>
    <t>Unfavourable — Revenue below budget</t>
  </si>
  <si>
    <t>Unfavourable — COGS above budget</t>
  </si>
  <si>
    <t>Unfavourable — Gross profit below budget</t>
  </si>
  <si>
    <t>Unfavourable — Operating expenses above budget</t>
  </si>
  <si>
    <t>Unfavourable — Operating profit below budget</t>
  </si>
  <si>
    <t>FULL-YEAR FINANCIAL FORECAST</t>
  </si>
  <si>
    <t>YTD Actual / Budget</t>
  </si>
  <si>
    <t>Remaining Budget</t>
  </si>
  <si>
    <t>Forecast Remaining</t>
  </si>
  <si>
    <t>Full-Year Budget</t>
  </si>
  <si>
    <t>Full-Year Forecast</t>
  </si>
  <si>
    <t>Forecast Variance $</t>
  </si>
  <si>
    <t>Forecast Variance %</t>
  </si>
  <si>
    <t>CORPORATE BUDGET, FORECAST &amp; PROFITABILITY DASHBOARD</t>
  </si>
  <si>
    <t>FULL-YEAR BUDGET REVENUE</t>
  </si>
  <si>
    <t>FULL-YEAR FORECAST REVENUE</t>
  </si>
  <si>
    <t>BUDGET OPERATING PROFIT</t>
  </si>
  <si>
    <t>FORECAST OPERATING PROFIT</t>
  </si>
  <si>
    <t>REVENUE FORECAST VARIANCE %</t>
  </si>
  <si>
    <t>OPERATING PROFIT FORECAST 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</si>
</sst>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%"/>
    <numFmt numFmtId="172" formatCode="&quot;$&quot;0.00,,&quot;M&quot;"/>
    <numFmt numFmtId="173" formatCode="&quot;$&quot;0,&quot;K&quot;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u/>
      <sz val="12"/>
      <color theme="1"/>
      <name val="Aptos Narrow"/>
      <scheme val="minor"/>
    </font>
    <font>
      <sz val="10"/>
      <color theme="1"/>
      <name val="Arial Unicode MS"/>
      <family val="2"/>
    </font>
    <font>
      <b/>
      <sz val="16"/>
      <color theme="1"/>
      <name val="Aptos Narrow (Body)"/>
    </font>
    <font>
      <b/>
      <sz val="18"/>
      <color theme="0"/>
      <name val="Aptos Narrow (Body)"/>
    </font>
    <font>
      <b/>
      <sz val="18"/>
      <color theme="0"/>
      <name val="Aptos Display"/>
      <scheme val="major"/>
    </font>
    <font>
      <b/>
      <sz val="16"/>
      <color theme="0"/>
      <name val="Aptos Narrow (Body)"/>
    </font>
    <font>
      <b/>
      <sz val="16"/>
      <color theme="0"/>
      <name val="Aptos Narrow"/>
      <scheme val="minor"/>
    </font>
    <font>
      <sz val="12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10" fontId="0" fillId="0" borderId="0" xfId="1" applyNumberFormat="1" applyFont="1"/>
    <xf numFmtId="0" fontId="6" fillId="0" borderId="0" xfId="0" applyFont="1"/>
    <xf numFmtId="0" fontId="7" fillId="0" borderId="0" xfId="0" applyFont="1"/>
    <xf numFmtId="1" fontId="0" fillId="0" borderId="0" xfId="0" applyNumberFormat="1"/>
    <xf numFmtId="0" fontId="0" fillId="0" borderId="2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2" fontId="3" fillId="3" borderId="3" xfId="0" applyNumberFormat="1" applyFont="1" applyFill="1" applyBorder="1" applyAlignment="1">
      <alignment horizontal="center"/>
    </xf>
    <xf numFmtId="172" fontId="3" fillId="3" borderId="4" xfId="0" applyNumberFormat="1" applyFont="1" applyFill="1" applyBorder="1" applyAlignment="1">
      <alignment horizontal="center"/>
    </xf>
    <xf numFmtId="173" fontId="3" fillId="3" borderId="3" xfId="0" applyNumberFormat="1" applyFont="1" applyFill="1" applyBorder="1" applyAlignment="1">
      <alignment horizontal="center"/>
    </xf>
    <xf numFmtId="173" fontId="3" fillId="3" borderId="4" xfId="0" applyNumberFormat="1" applyFont="1" applyFill="1" applyBorder="1" applyAlignment="1">
      <alignment horizontal="center"/>
    </xf>
    <xf numFmtId="168" fontId="5" fillId="3" borderId="3" xfId="0" applyNumberFormat="1" applyFont="1" applyFill="1" applyBorder="1" applyAlignment="1">
      <alignment horizontal="center"/>
    </xf>
    <xf numFmtId="168" fontId="5" fillId="3" borderId="4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0" fillId="3" borderId="0" xfId="0" applyFill="1"/>
    <xf numFmtId="0" fontId="11" fillId="2" borderId="0" xfId="0" applyFont="1" applyFill="1"/>
    <xf numFmtId="0" fontId="0" fillId="2" borderId="0" xfId="0" applyFill="1"/>
    <xf numFmtId="0" fontId="6" fillId="3" borderId="0" xfId="0" applyFont="1" applyFill="1"/>
    <xf numFmtId="0" fontId="12" fillId="2" borderId="0" xfId="0" applyFont="1" applyFill="1"/>
    <xf numFmtId="0" fontId="13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9EAF7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Revenue - Jan to Aug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Data'!$B$3</c:f>
              <c:strCache>
                <c:ptCount val="1"/>
                <c:pt idx="0">
                  <c:v>Budget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Data'!$A$4:$A$11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Data'!$B$4:$B$11</c:f>
              <c:numCache>
                <c:formatCode>General</c:formatCode>
                <c:ptCount val="8"/>
                <c:pt idx="0">
                  <c:v>450000</c:v>
                </c:pt>
                <c:pt idx="1">
                  <c:v>460000</c:v>
                </c:pt>
                <c:pt idx="2">
                  <c:v>470000</c:v>
                </c:pt>
                <c:pt idx="3">
                  <c:v>480000</c:v>
                </c:pt>
                <c:pt idx="4">
                  <c:v>500000</c:v>
                </c:pt>
                <c:pt idx="5">
                  <c:v>520000</c:v>
                </c:pt>
                <c:pt idx="6">
                  <c:v>540000</c:v>
                </c:pt>
                <c:pt idx="7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7A41-8C06-34EBF0C8FFA2}"/>
            </c:ext>
          </c:extLst>
        </c:ser>
        <c:ser>
          <c:idx val="1"/>
          <c:order val="1"/>
          <c:tx>
            <c:strRef>
              <c:f>'Monthly Data'!$C$3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Data'!$A$4:$A$11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Data'!$C$4:$C$11</c:f>
              <c:numCache>
                <c:formatCode>General</c:formatCode>
                <c:ptCount val="8"/>
                <c:pt idx="0">
                  <c:v>440000</c:v>
                </c:pt>
                <c:pt idx="1">
                  <c:v>455000</c:v>
                </c:pt>
                <c:pt idx="2">
                  <c:v>462000</c:v>
                </c:pt>
                <c:pt idx="3">
                  <c:v>475000</c:v>
                </c:pt>
                <c:pt idx="4">
                  <c:v>490000</c:v>
                </c:pt>
                <c:pt idx="5">
                  <c:v>510000</c:v>
                </c:pt>
                <c:pt idx="6">
                  <c:v>525000</c:v>
                </c:pt>
                <c:pt idx="7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F-7A41-8C06-34EBF0C8F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329616"/>
        <c:axId val="172331328"/>
      </c:barChart>
      <c:catAx>
        <c:axId val="1723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1328"/>
        <c:crosses val="autoZero"/>
        <c:auto val="1"/>
        <c:lblAlgn val="ctr"/>
        <c:lblOffset val="100"/>
        <c:noMultiLvlLbl val="0"/>
      </c:catAx>
      <c:valAx>
        <c:axId val="17233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Actual Operating Profit - Jan to Aug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Data'!$R$3</c:f>
              <c:strCache>
                <c:ptCount val="1"/>
                <c:pt idx="0">
                  <c:v>Budget 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Data'!$Q$4:$Q$11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Data'!$R$4:$R$11</c:f>
              <c:numCache>
                <c:formatCode>General</c:formatCode>
                <c:ptCount val="8"/>
                <c:pt idx="0">
                  <c:v>70000</c:v>
                </c:pt>
                <c:pt idx="1">
                  <c:v>72000</c:v>
                </c:pt>
                <c:pt idx="2">
                  <c:v>74000</c:v>
                </c:pt>
                <c:pt idx="3">
                  <c:v>76000</c:v>
                </c:pt>
                <c:pt idx="4">
                  <c:v>82000</c:v>
                </c:pt>
                <c:pt idx="5">
                  <c:v>88000</c:v>
                </c:pt>
                <c:pt idx="6">
                  <c:v>94000</c:v>
                </c:pt>
                <c:pt idx="7">
                  <c:v>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D-214B-BCDD-A9FB5288B50F}"/>
            </c:ext>
          </c:extLst>
        </c:ser>
        <c:ser>
          <c:idx val="1"/>
          <c:order val="1"/>
          <c:tx>
            <c:strRef>
              <c:f>'Monthly Data'!$S$3</c:f>
              <c:strCache>
                <c:ptCount val="1"/>
                <c:pt idx="0">
                  <c:v>Actual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Data'!$Q$4:$Q$11</c:f>
              <c:strCache>
                <c:ptCount val="8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</c:strCache>
            </c:strRef>
          </c:cat>
          <c:val>
            <c:numRef>
              <c:f>'Monthly Data'!$S$4:$S$11</c:f>
              <c:numCache>
                <c:formatCode>General</c:formatCode>
                <c:ptCount val="8"/>
                <c:pt idx="0">
                  <c:v>58000</c:v>
                </c:pt>
                <c:pt idx="1">
                  <c:v>60000</c:v>
                </c:pt>
                <c:pt idx="2">
                  <c:v>61000</c:v>
                </c:pt>
                <c:pt idx="3">
                  <c:v>62000</c:v>
                </c:pt>
                <c:pt idx="4">
                  <c:v>64000</c:v>
                </c:pt>
                <c:pt idx="5">
                  <c:v>69000</c:v>
                </c:pt>
                <c:pt idx="6">
                  <c:v>75000</c:v>
                </c:pt>
                <c:pt idx="7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D-214B-BCDD-A9FB5288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28496"/>
        <c:axId val="172658800"/>
      </c:barChart>
      <c:catAx>
        <c:axId val="20262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58800"/>
        <c:crosses val="autoZero"/>
        <c:auto val="1"/>
        <c:lblAlgn val="ctr"/>
        <c:lblOffset val="100"/>
        <c:noMultiLvlLbl val="0"/>
      </c:catAx>
      <c:valAx>
        <c:axId val="1726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2895600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4CDD2-E140-7248-B195-46E648EF5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</xdr:colOff>
      <xdr:row>10</xdr:row>
      <xdr:rowOff>0</xdr:rowOff>
    </xdr:from>
    <xdr:to>
      <xdr:col>8</xdr:col>
      <xdr:colOff>25400</xdr:colOff>
      <xdr:row>23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6B760-150F-494F-9741-019795AE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21539-7F06-0D4D-BE18-9CF5AD8A6B4B}">
  <dimension ref="A1:F22"/>
  <sheetViews>
    <sheetView tabSelected="1" workbookViewId="0">
      <selection activeCell="A21" sqref="A21"/>
    </sheetView>
  </sheetViews>
  <sheetFormatPr baseColWidth="10" defaultRowHeight="16" x14ac:dyDescent="0.2"/>
  <cols>
    <col min="6" max="6" width="29.6640625" customWidth="1"/>
  </cols>
  <sheetData>
    <row r="1" spans="1:6" ht="24" x14ac:dyDescent="0.2">
      <c r="A1" s="21" t="s">
        <v>0</v>
      </c>
      <c r="B1" s="21"/>
      <c r="C1" s="21"/>
      <c r="D1" s="21"/>
      <c r="E1" s="21"/>
      <c r="F1" s="21"/>
    </row>
    <row r="3" spans="1:6" x14ac:dyDescent="0.2">
      <c r="A3" s="22" t="s">
        <v>1</v>
      </c>
      <c r="B3" s="22"/>
    </row>
    <row r="4" spans="1:6" x14ac:dyDescent="0.2">
      <c r="A4" s="2" t="s">
        <v>2</v>
      </c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7" spans="1:6" x14ac:dyDescent="0.2">
      <c r="A7" s="23" t="s">
        <v>3</v>
      </c>
    </row>
    <row r="8" spans="1:6" x14ac:dyDescent="0.2">
      <c r="A8" s="1" t="s">
        <v>4</v>
      </c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1" spans="1:6" x14ac:dyDescent="0.2">
      <c r="A11" s="23" t="s">
        <v>5</v>
      </c>
      <c r="B11" s="24"/>
    </row>
    <row r="12" spans="1:6" ht="16" customHeight="1" x14ac:dyDescent="0.2">
      <c r="A12" t="s">
        <v>6</v>
      </c>
    </row>
    <row r="13" spans="1:6" x14ac:dyDescent="0.2">
      <c r="A13" t="s">
        <v>7</v>
      </c>
    </row>
    <row r="14" spans="1:6" x14ac:dyDescent="0.2">
      <c r="A14" t="s">
        <v>8</v>
      </c>
    </row>
    <row r="15" spans="1:6" x14ac:dyDescent="0.2">
      <c r="A15" t="s">
        <v>9</v>
      </c>
    </row>
    <row r="16" spans="1:6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1" spans="1:1" x14ac:dyDescent="0.2">
      <c r="A21" s="23" t="s">
        <v>14</v>
      </c>
    </row>
    <row r="22" spans="1:1" x14ac:dyDescent="0.2">
      <c r="A22" t="s">
        <v>15</v>
      </c>
    </row>
  </sheetData>
  <mergeCells count="4">
    <mergeCell ref="A1:F1"/>
    <mergeCell ref="A3:B3"/>
    <mergeCell ref="A4:F5"/>
    <mergeCell ref="A8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309A-BE71-8849-B683-36F06A618F80}">
  <dimension ref="A1:S15"/>
  <sheetViews>
    <sheetView workbookViewId="0">
      <selection activeCell="A3" sqref="A3:O15"/>
    </sheetView>
  </sheetViews>
  <sheetFormatPr baseColWidth="10" defaultRowHeight="16" x14ac:dyDescent="0.2"/>
  <cols>
    <col min="2" max="2" width="14.33203125" customWidth="1"/>
    <col min="3" max="3" width="15" customWidth="1"/>
    <col min="4" max="4" width="14.33203125" customWidth="1"/>
    <col min="5" max="5" width="13.6640625" customWidth="1"/>
    <col min="6" max="6" width="23.1640625" customWidth="1"/>
    <col min="7" max="7" width="22.83203125" customWidth="1"/>
    <col min="8" max="8" width="17.5" customWidth="1"/>
    <col min="9" max="9" width="17.6640625" customWidth="1"/>
    <col min="10" max="10" width="19.6640625" customWidth="1"/>
    <col min="11" max="11" width="18.83203125" customWidth="1"/>
    <col min="12" max="12" width="19.6640625" customWidth="1"/>
    <col min="13" max="13" width="21" customWidth="1"/>
    <col min="14" max="14" width="23.6640625" customWidth="1"/>
    <col min="15" max="15" width="30.5" customWidth="1"/>
    <col min="17" max="17" width="14.6640625" customWidth="1"/>
    <col min="18" max="18" width="21.5" customWidth="1"/>
    <col min="19" max="19" width="19.1640625" customWidth="1"/>
  </cols>
  <sheetData>
    <row r="1" spans="1:19" ht="22" x14ac:dyDescent="0.3">
      <c r="A1" s="25" t="s">
        <v>16</v>
      </c>
      <c r="B1" s="26"/>
      <c r="C1" s="26"/>
      <c r="D1" s="26"/>
      <c r="E1" s="26"/>
      <c r="F1" s="26"/>
    </row>
    <row r="3" spans="1:19" x14ac:dyDescent="0.2">
      <c r="A3" s="27" t="s">
        <v>17</v>
      </c>
      <c r="B3" s="27" t="s">
        <v>18</v>
      </c>
      <c r="C3" s="27" t="s">
        <v>19</v>
      </c>
      <c r="D3" s="27" t="s">
        <v>20</v>
      </c>
      <c r="E3" s="27" t="s">
        <v>21</v>
      </c>
      <c r="F3" s="27" t="s">
        <v>22</v>
      </c>
      <c r="G3" s="27" t="s">
        <v>23</v>
      </c>
      <c r="H3" s="27" t="s">
        <v>36</v>
      </c>
      <c r="I3" s="27" t="s">
        <v>37</v>
      </c>
      <c r="J3" s="27" t="s">
        <v>38</v>
      </c>
      <c r="K3" s="27" t="s">
        <v>39</v>
      </c>
      <c r="L3" s="27" t="s">
        <v>40</v>
      </c>
      <c r="M3" s="27" t="s">
        <v>41</v>
      </c>
      <c r="N3" s="27" t="s">
        <v>42</v>
      </c>
      <c r="O3" s="27" t="s">
        <v>43</v>
      </c>
      <c r="Q3" s="4" t="s">
        <v>17</v>
      </c>
      <c r="R3" s="4" t="s">
        <v>40</v>
      </c>
      <c r="S3" s="4" t="s">
        <v>41</v>
      </c>
    </row>
    <row r="4" spans="1:19" x14ac:dyDescent="0.2">
      <c r="A4" t="s">
        <v>24</v>
      </c>
      <c r="B4">
        <v>450000</v>
      </c>
      <c r="C4">
        <v>440000</v>
      </c>
      <c r="D4">
        <v>270000</v>
      </c>
      <c r="E4">
        <v>270000</v>
      </c>
      <c r="F4">
        <v>110000</v>
      </c>
      <c r="G4">
        <v>112000</v>
      </c>
      <c r="H4">
        <f>B4-D4</f>
        <v>180000</v>
      </c>
      <c r="I4">
        <f>C4-E4</f>
        <v>170000</v>
      </c>
      <c r="J4" s="3">
        <f>H4/B4</f>
        <v>0.4</v>
      </c>
      <c r="K4" s="3">
        <f>I4/C4</f>
        <v>0.38636363636363635</v>
      </c>
      <c r="L4">
        <f>H4-F4</f>
        <v>70000</v>
      </c>
      <c r="M4">
        <f>I4-G4</f>
        <v>58000</v>
      </c>
      <c r="N4" s="3">
        <f>L4/B4</f>
        <v>0.15555555555555556</v>
      </c>
      <c r="O4" s="3">
        <f>M4/C4</f>
        <v>0.13181818181818181</v>
      </c>
      <c r="Q4" t="str">
        <f>A4</f>
        <v>January</v>
      </c>
      <c r="R4">
        <f>L4</f>
        <v>70000</v>
      </c>
      <c r="S4">
        <f>M4</f>
        <v>58000</v>
      </c>
    </row>
    <row r="5" spans="1:19" x14ac:dyDescent="0.2">
      <c r="A5" t="s">
        <v>25</v>
      </c>
      <c r="B5">
        <v>460000</v>
      </c>
      <c r="C5">
        <v>455000</v>
      </c>
      <c r="D5">
        <v>276000</v>
      </c>
      <c r="E5">
        <v>280000</v>
      </c>
      <c r="F5">
        <v>112000</v>
      </c>
      <c r="G5">
        <v>115000</v>
      </c>
      <c r="H5">
        <f t="shared" ref="H5:H15" si="0">B5-D5</f>
        <v>184000</v>
      </c>
      <c r="I5">
        <f t="shared" ref="I5:I15" si="1">C5-E5</f>
        <v>175000</v>
      </c>
      <c r="J5" s="3">
        <f>H5/B5</f>
        <v>0.4</v>
      </c>
      <c r="K5" s="3">
        <f t="shared" ref="K5:K15" si="2">I5/C5</f>
        <v>0.38461538461538464</v>
      </c>
      <c r="L5">
        <f t="shared" ref="L5:L15" si="3">H5-F5</f>
        <v>72000</v>
      </c>
      <c r="M5">
        <f t="shared" ref="M5:M12" si="4">I5-G5</f>
        <v>60000</v>
      </c>
      <c r="N5" s="3">
        <f t="shared" ref="N5:N15" si="5">L5/B5</f>
        <v>0.15652173913043479</v>
      </c>
      <c r="O5" s="3">
        <f t="shared" ref="O5:O12" si="6">M5/C5</f>
        <v>0.13186813186813187</v>
      </c>
      <c r="Q5" t="str">
        <f t="shared" ref="Q5:Q14" si="7">A5</f>
        <v>February</v>
      </c>
      <c r="R5">
        <f t="shared" ref="R5:R15" si="8">L5</f>
        <v>72000</v>
      </c>
      <c r="S5">
        <f t="shared" ref="S5:S15" si="9">M5</f>
        <v>60000</v>
      </c>
    </row>
    <row r="6" spans="1:19" x14ac:dyDescent="0.2">
      <c r="A6" t="s">
        <v>26</v>
      </c>
      <c r="B6">
        <v>470000</v>
      </c>
      <c r="C6">
        <v>462000</v>
      </c>
      <c r="D6">
        <v>282000</v>
      </c>
      <c r="E6">
        <v>285000</v>
      </c>
      <c r="F6">
        <v>114000</v>
      </c>
      <c r="G6">
        <v>116000</v>
      </c>
      <c r="H6">
        <f t="shared" si="0"/>
        <v>188000</v>
      </c>
      <c r="I6">
        <f t="shared" si="1"/>
        <v>177000</v>
      </c>
      <c r="J6" s="3">
        <f>H6/B6</f>
        <v>0.4</v>
      </c>
      <c r="K6" s="3">
        <f t="shared" si="2"/>
        <v>0.38311688311688313</v>
      </c>
      <c r="L6">
        <f t="shared" si="3"/>
        <v>74000</v>
      </c>
      <c r="M6">
        <f t="shared" si="4"/>
        <v>61000</v>
      </c>
      <c r="N6" s="3">
        <f t="shared" si="5"/>
        <v>0.1574468085106383</v>
      </c>
      <c r="O6" s="3">
        <f t="shared" si="6"/>
        <v>0.13203463203463203</v>
      </c>
      <c r="Q6" t="str">
        <f t="shared" si="7"/>
        <v>March</v>
      </c>
      <c r="R6">
        <f t="shared" si="8"/>
        <v>74000</v>
      </c>
      <c r="S6">
        <f t="shared" si="9"/>
        <v>61000</v>
      </c>
    </row>
    <row r="7" spans="1:19" x14ac:dyDescent="0.2">
      <c r="A7" t="s">
        <v>27</v>
      </c>
      <c r="B7">
        <v>480000</v>
      </c>
      <c r="C7">
        <v>475000</v>
      </c>
      <c r="D7">
        <v>288000</v>
      </c>
      <c r="E7">
        <v>294000</v>
      </c>
      <c r="F7">
        <v>116000</v>
      </c>
      <c r="G7">
        <v>119000</v>
      </c>
      <c r="H7">
        <f t="shared" si="0"/>
        <v>192000</v>
      </c>
      <c r="I7">
        <f t="shared" si="1"/>
        <v>181000</v>
      </c>
      <c r="J7" s="3">
        <f t="shared" ref="J7:J15" si="10">H7/B7</f>
        <v>0.4</v>
      </c>
      <c r="K7" s="3">
        <f t="shared" si="2"/>
        <v>0.38105263157894737</v>
      </c>
      <c r="L7">
        <f t="shared" si="3"/>
        <v>76000</v>
      </c>
      <c r="M7">
        <f t="shared" si="4"/>
        <v>62000</v>
      </c>
      <c r="N7" s="3">
        <f t="shared" si="5"/>
        <v>0.15833333333333333</v>
      </c>
      <c r="O7" s="3">
        <f t="shared" si="6"/>
        <v>0.13052631578947368</v>
      </c>
      <c r="Q7" t="str">
        <f t="shared" si="7"/>
        <v>April</v>
      </c>
      <c r="R7">
        <f t="shared" si="8"/>
        <v>76000</v>
      </c>
      <c r="S7">
        <f t="shared" si="9"/>
        <v>62000</v>
      </c>
    </row>
    <row r="8" spans="1:19" x14ac:dyDescent="0.2">
      <c r="A8" t="s">
        <v>28</v>
      </c>
      <c r="B8">
        <v>500000</v>
      </c>
      <c r="C8">
        <v>490000</v>
      </c>
      <c r="D8">
        <v>300000</v>
      </c>
      <c r="E8">
        <v>305000</v>
      </c>
      <c r="F8">
        <v>118000</v>
      </c>
      <c r="G8">
        <v>121000</v>
      </c>
      <c r="H8">
        <f t="shared" si="0"/>
        <v>200000</v>
      </c>
      <c r="I8">
        <f t="shared" si="1"/>
        <v>185000</v>
      </c>
      <c r="J8" s="3">
        <f t="shared" si="10"/>
        <v>0.4</v>
      </c>
      <c r="K8" s="3">
        <f t="shared" si="2"/>
        <v>0.37755102040816324</v>
      </c>
      <c r="L8">
        <f t="shared" si="3"/>
        <v>82000</v>
      </c>
      <c r="M8">
        <f t="shared" si="4"/>
        <v>64000</v>
      </c>
      <c r="N8" s="3">
        <f t="shared" si="5"/>
        <v>0.16400000000000001</v>
      </c>
      <c r="O8" s="3">
        <f t="shared" si="6"/>
        <v>0.1306122448979592</v>
      </c>
      <c r="Q8" t="str">
        <f t="shared" si="7"/>
        <v>May</v>
      </c>
      <c r="R8">
        <f t="shared" si="8"/>
        <v>82000</v>
      </c>
      <c r="S8">
        <f t="shared" si="9"/>
        <v>64000</v>
      </c>
    </row>
    <row r="9" spans="1:19" x14ac:dyDescent="0.2">
      <c r="A9" t="s">
        <v>29</v>
      </c>
      <c r="B9">
        <v>520000</v>
      </c>
      <c r="C9">
        <v>510000</v>
      </c>
      <c r="D9">
        <v>312000</v>
      </c>
      <c r="E9">
        <v>318000</v>
      </c>
      <c r="F9">
        <v>120000</v>
      </c>
      <c r="G9">
        <v>123000</v>
      </c>
      <c r="H9">
        <f t="shared" si="0"/>
        <v>208000</v>
      </c>
      <c r="I9">
        <f t="shared" si="1"/>
        <v>192000</v>
      </c>
      <c r="J9" s="3">
        <f t="shared" si="10"/>
        <v>0.4</v>
      </c>
      <c r="K9" s="3">
        <f t="shared" si="2"/>
        <v>0.37647058823529411</v>
      </c>
      <c r="L9">
        <f t="shared" si="3"/>
        <v>88000</v>
      </c>
      <c r="M9">
        <f t="shared" si="4"/>
        <v>69000</v>
      </c>
      <c r="N9" s="3">
        <f t="shared" si="5"/>
        <v>0.16923076923076924</v>
      </c>
      <c r="O9" s="3">
        <f t="shared" si="6"/>
        <v>0.13529411764705881</v>
      </c>
      <c r="Q9" t="str">
        <f t="shared" si="7"/>
        <v>June</v>
      </c>
      <c r="R9">
        <f t="shared" si="8"/>
        <v>88000</v>
      </c>
      <c r="S9">
        <f t="shared" si="9"/>
        <v>69000</v>
      </c>
    </row>
    <row r="10" spans="1:19" x14ac:dyDescent="0.2">
      <c r="A10" t="s">
        <v>30</v>
      </c>
      <c r="B10">
        <v>540000</v>
      </c>
      <c r="C10">
        <v>525000</v>
      </c>
      <c r="D10">
        <v>324000</v>
      </c>
      <c r="E10">
        <v>325000</v>
      </c>
      <c r="F10">
        <v>122000</v>
      </c>
      <c r="G10">
        <v>125000</v>
      </c>
      <c r="H10">
        <f t="shared" si="0"/>
        <v>216000</v>
      </c>
      <c r="I10">
        <f t="shared" si="1"/>
        <v>200000</v>
      </c>
      <c r="J10" s="3">
        <f t="shared" si="10"/>
        <v>0.4</v>
      </c>
      <c r="K10" s="3">
        <f t="shared" si="2"/>
        <v>0.38095238095238093</v>
      </c>
      <c r="L10">
        <f t="shared" si="3"/>
        <v>94000</v>
      </c>
      <c r="M10">
        <f t="shared" si="4"/>
        <v>75000</v>
      </c>
      <c r="N10" s="3">
        <f t="shared" si="5"/>
        <v>0.17407407407407408</v>
      </c>
      <c r="O10" s="3">
        <f t="shared" si="6"/>
        <v>0.14285714285714285</v>
      </c>
      <c r="Q10" t="str">
        <f t="shared" si="7"/>
        <v>July</v>
      </c>
      <c r="R10">
        <f t="shared" si="8"/>
        <v>94000</v>
      </c>
      <c r="S10">
        <f t="shared" si="9"/>
        <v>75000</v>
      </c>
    </row>
    <row r="11" spans="1:19" x14ac:dyDescent="0.2">
      <c r="A11" t="s">
        <v>31</v>
      </c>
      <c r="B11">
        <v>550000</v>
      </c>
      <c r="C11">
        <v>540000</v>
      </c>
      <c r="D11">
        <v>330000</v>
      </c>
      <c r="E11">
        <v>337000</v>
      </c>
      <c r="F11">
        <v>124000</v>
      </c>
      <c r="G11">
        <v>128000</v>
      </c>
      <c r="H11">
        <f t="shared" si="0"/>
        <v>220000</v>
      </c>
      <c r="I11">
        <f t="shared" si="1"/>
        <v>203000</v>
      </c>
      <c r="J11" s="3">
        <f t="shared" si="10"/>
        <v>0.4</v>
      </c>
      <c r="K11" s="3">
        <f t="shared" si="2"/>
        <v>0.37592592592592594</v>
      </c>
      <c r="L11">
        <f t="shared" si="3"/>
        <v>96000</v>
      </c>
      <c r="M11">
        <f t="shared" si="4"/>
        <v>75000</v>
      </c>
      <c r="N11" s="3">
        <f t="shared" si="5"/>
        <v>0.17454545454545456</v>
      </c>
      <c r="O11" s="3">
        <f t="shared" si="6"/>
        <v>0.1388888888888889</v>
      </c>
      <c r="Q11" t="str">
        <f t="shared" si="7"/>
        <v>August</v>
      </c>
      <c r="R11">
        <f t="shared" si="8"/>
        <v>96000</v>
      </c>
      <c r="S11">
        <f t="shared" si="9"/>
        <v>75000</v>
      </c>
    </row>
    <row r="12" spans="1:19" x14ac:dyDescent="0.2">
      <c r="A12" t="s">
        <v>32</v>
      </c>
      <c r="B12">
        <v>560000</v>
      </c>
      <c r="D12">
        <v>336000</v>
      </c>
      <c r="F12">
        <v>126000</v>
      </c>
      <c r="H12">
        <f t="shared" si="0"/>
        <v>224000</v>
      </c>
      <c r="J12" s="3">
        <f t="shared" si="10"/>
        <v>0.4</v>
      </c>
      <c r="K12" s="3"/>
      <c r="L12">
        <f t="shared" si="3"/>
        <v>98000</v>
      </c>
      <c r="N12" s="3">
        <f t="shared" si="5"/>
        <v>0.17499999999999999</v>
      </c>
      <c r="O12" s="3"/>
    </row>
    <row r="13" spans="1:19" x14ac:dyDescent="0.2">
      <c r="A13" t="s">
        <v>33</v>
      </c>
      <c r="B13">
        <v>580000</v>
      </c>
      <c r="D13">
        <v>348000</v>
      </c>
      <c r="F13">
        <v>128000</v>
      </c>
      <c r="H13">
        <f t="shared" si="0"/>
        <v>232000</v>
      </c>
      <c r="J13" s="3">
        <f t="shared" si="10"/>
        <v>0.4</v>
      </c>
      <c r="K13" s="3"/>
      <c r="L13">
        <f t="shared" si="3"/>
        <v>104000</v>
      </c>
      <c r="N13" s="3">
        <f t="shared" si="5"/>
        <v>0.1793103448275862</v>
      </c>
    </row>
    <row r="14" spans="1:19" x14ac:dyDescent="0.2">
      <c r="A14" t="s">
        <v>34</v>
      </c>
      <c r="B14">
        <v>600000</v>
      </c>
      <c r="D14">
        <v>360000</v>
      </c>
      <c r="F14">
        <v>130000</v>
      </c>
      <c r="H14">
        <f t="shared" si="0"/>
        <v>240000</v>
      </c>
      <c r="J14" s="3">
        <f t="shared" si="10"/>
        <v>0.4</v>
      </c>
      <c r="K14" s="3"/>
      <c r="L14">
        <f t="shared" si="3"/>
        <v>110000</v>
      </c>
      <c r="N14" s="3">
        <f t="shared" si="5"/>
        <v>0.18333333333333332</v>
      </c>
    </row>
    <row r="15" spans="1:19" x14ac:dyDescent="0.2">
      <c r="A15" t="s">
        <v>35</v>
      </c>
      <c r="B15">
        <v>650000</v>
      </c>
      <c r="D15">
        <v>390000</v>
      </c>
      <c r="F15">
        <v>135000</v>
      </c>
      <c r="H15">
        <f t="shared" si="0"/>
        <v>260000</v>
      </c>
      <c r="J15" s="3">
        <f t="shared" si="10"/>
        <v>0.4</v>
      </c>
      <c r="K15" s="3"/>
      <c r="L15">
        <f t="shared" si="3"/>
        <v>125000</v>
      </c>
      <c r="N15" s="3">
        <f t="shared" si="5"/>
        <v>0.19230769230769232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7578-8D20-F84C-8BD7-00F42696BA74}">
  <dimension ref="A1:F8"/>
  <sheetViews>
    <sheetView workbookViewId="0">
      <selection activeCell="B4" sqref="B4"/>
    </sheetView>
  </sheetViews>
  <sheetFormatPr baseColWidth="10" defaultRowHeight="16" x14ac:dyDescent="0.2"/>
  <cols>
    <col min="1" max="1" width="19.83203125" customWidth="1"/>
    <col min="5" max="5" width="15.6640625" customWidth="1"/>
    <col min="6" max="6" width="35.83203125" customWidth="1"/>
  </cols>
  <sheetData>
    <row r="1" spans="1:6" ht="22" x14ac:dyDescent="0.3">
      <c r="A1" s="28" t="s">
        <v>44</v>
      </c>
      <c r="B1" s="29"/>
      <c r="C1" s="29"/>
      <c r="D1" s="29"/>
      <c r="E1" s="29"/>
    </row>
    <row r="3" spans="1:6" x14ac:dyDescent="0.2">
      <c r="A3" s="27" t="s">
        <v>45</v>
      </c>
      <c r="B3" s="27" t="s">
        <v>46</v>
      </c>
      <c r="C3" s="27" t="s">
        <v>47</v>
      </c>
      <c r="D3" s="27" t="s">
        <v>48</v>
      </c>
      <c r="E3" s="27" t="s">
        <v>49</v>
      </c>
      <c r="F3" s="27" t="s">
        <v>50</v>
      </c>
    </row>
    <row r="4" spans="1:6" ht="17" x14ac:dyDescent="0.25">
      <c r="A4" s="5" t="s">
        <v>51</v>
      </c>
      <c r="B4">
        <f>SUM('Monthly Data'!B4:B11)</f>
        <v>3970000</v>
      </c>
      <c r="C4">
        <f>SUM('Monthly Data'!C4:C11)</f>
        <v>3897000</v>
      </c>
      <c r="D4">
        <f>C4-B4</f>
        <v>-73000</v>
      </c>
      <c r="E4" s="3">
        <f>D4/B4</f>
        <v>-1.8387909319899243E-2</v>
      </c>
      <c r="F4" t="s">
        <v>56</v>
      </c>
    </row>
    <row r="5" spans="1:6" ht="17" x14ac:dyDescent="0.25">
      <c r="A5" s="5" t="s">
        <v>52</v>
      </c>
      <c r="B5">
        <f>SUM('Monthly Data'!D4:D11)</f>
        <v>2382000</v>
      </c>
      <c r="C5">
        <f>SUM('Monthly Data'!E4:E11)</f>
        <v>2414000</v>
      </c>
      <c r="D5">
        <f>C5-B5</f>
        <v>32000</v>
      </c>
      <c r="E5" s="3">
        <f>D5/B5</f>
        <v>1.343408900083963E-2</v>
      </c>
      <c r="F5" t="s">
        <v>57</v>
      </c>
    </row>
    <row r="6" spans="1:6" ht="17" x14ac:dyDescent="0.25">
      <c r="A6" s="5" t="s">
        <v>53</v>
      </c>
      <c r="B6">
        <f>SUM('Monthly Data'!H4:H11)</f>
        <v>1588000</v>
      </c>
      <c r="C6">
        <f>SUM('Monthly Data'!I4:I11)</f>
        <v>1483000</v>
      </c>
      <c r="D6">
        <f>C6-B6</f>
        <v>-105000</v>
      </c>
      <c r="E6" s="3">
        <f>D6/B6</f>
        <v>-6.6120906801007559E-2</v>
      </c>
      <c r="F6" t="s">
        <v>58</v>
      </c>
    </row>
    <row r="7" spans="1:6" ht="17" x14ac:dyDescent="0.25">
      <c r="A7" s="5" t="s">
        <v>54</v>
      </c>
      <c r="B7">
        <f>SUM('Monthly Data'!F4:F11)</f>
        <v>936000</v>
      </c>
      <c r="C7">
        <f>SUM('Monthly Data'!G4:G11)</f>
        <v>959000</v>
      </c>
      <c r="D7">
        <f>C7-B7</f>
        <v>23000</v>
      </c>
      <c r="E7" s="3">
        <f>D7/B7</f>
        <v>2.4572649572649572E-2</v>
      </c>
      <c r="F7" t="s">
        <v>59</v>
      </c>
    </row>
    <row r="8" spans="1:6" ht="17" x14ac:dyDescent="0.25">
      <c r="A8" s="5" t="s">
        <v>55</v>
      </c>
      <c r="B8">
        <f>SUM('Monthly Data'!L4:L11)</f>
        <v>652000</v>
      </c>
      <c r="C8">
        <f>SUM('Monthly Data'!M4:M11)</f>
        <v>524000</v>
      </c>
      <c r="D8">
        <f>C8-B8</f>
        <v>-128000</v>
      </c>
      <c r="E8" s="3">
        <f>D8/B8</f>
        <v>-0.19631901840490798</v>
      </c>
      <c r="F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ECA0-7899-DD40-86EC-34E0D893E35F}">
  <dimension ref="A1:J8"/>
  <sheetViews>
    <sheetView workbookViewId="0">
      <selection activeCell="A3" sqref="A3:J8"/>
    </sheetView>
  </sheetViews>
  <sheetFormatPr baseColWidth="10" defaultRowHeight="16" x14ac:dyDescent="0.2"/>
  <cols>
    <col min="1" max="1" width="16.83203125" customWidth="1"/>
    <col min="4" max="4" width="16.83203125" customWidth="1"/>
    <col min="5" max="5" width="16.5" customWidth="1"/>
    <col min="6" max="6" width="21" customWidth="1"/>
    <col min="7" max="7" width="15" customWidth="1"/>
    <col min="8" max="8" width="16.33203125" customWidth="1"/>
    <col min="9" max="9" width="20" customWidth="1"/>
    <col min="10" max="10" width="17" customWidth="1"/>
  </cols>
  <sheetData>
    <row r="1" spans="1:10" ht="22" x14ac:dyDescent="0.3">
      <c r="A1" s="28" t="s">
        <v>61</v>
      </c>
      <c r="B1" s="29"/>
      <c r="C1" s="29"/>
    </row>
    <row r="3" spans="1:10" x14ac:dyDescent="0.2">
      <c r="A3" s="27" t="s">
        <v>45</v>
      </c>
      <c r="B3" s="27" t="s">
        <v>46</v>
      </c>
      <c r="C3" s="27" t="s">
        <v>47</v>
      </c>
      <c r="D3" s="27" t="s">
        <v>62</v>
      </c>
      <c r="E3" s="27" t="s">
        <v>63</v>
      </c>
      <c r="F3" s="27" t="s">
        <v>64</v>
      </c>
      <c r="G3" s="27" t="s">
        <v>65</v>
      </c>
      <c r="H3" s="27" t="s">
        <v>66</v>
      </c>
      <c r="I3" s="27" t="s">
        <v>67</v>
      </c>
      <c r="J3" s="27" t="s">
        <v>68</v>
      </c>
    </row>
    <row r="4" spans="1:10" ht="17" x14ac:dyDescent="0.25">
      <c r="A4" s="5" t="s">
        <v>51</v>
      </c>
      <c r="B4">
        <f>'Variance Analysis '!B4</f>
        <v>3970000</v>
      </c>
      <c r="C4">
        <f>'Variance Analysis '!C4</f>
        <v>3897000</v>
      </c>
      <c r="D4" s="3">
        <f>C4/B4</f>
        <v>0.9816120906801008</v>
      </c>
      <c r="E4">
        <f>SUM('Monthly Data'!B12:B15)</f>
        <v>2390000</v>
      </c>
      <c r="F4" s="6">
        <f>E4*D4</f>
        <v>2346052.8967254409</v>
      </c>
      <c r="G4">
        <f>SUM('Monthly Data'!B4:B15)</f>
        <v>6360000</v>
      </c>
      <c r="H4" s="6">
        <f>C4+F4</f>
        <v>6243052.8967254404</v>
      </c>
      <c r="I4" s="6">
        <f>H4-G4</f>
        <v>-116947.1032745596</v>
      </c>
      <c r="J4" s="3">
        <f>I4/G4</f>
        <v>-1.8387909319899309E-2</v>
      </c>
    </row>
    <row r="5" spans="1:10" ht="17" x14ac:dyDescent="0.25">
      <c r="A5" s="5" t="s">
        <v>52</v>
      </c>
      <c r="B5">
        <f>'Variance Analysis '!B5</f>
        <v>2382000</v>
      </c>
      <c r="C5">
        <f>'Variance Analysis '!C5</f>
        <v>2414000</v>
      </c>
      <c r="D5" s="3">
        <f>C5/B5</f>
        <v>1.0134340890008395</v>
      </c>
      <c r="E5">
        <f>SUM('Monthly Data'!D12:D15)</f>
        <v>1434000</v>
      </c>
      <c r="F5" s="6">
        <f>E5*D5</f>
        <v>1453264.4836272039</v>
      </c>
      <c r="G5">
        <f>SUM('Monthly Data'!D4:D15)</f>
        <v>3816000</v>
      </c>
      <c r="H5" s="6">
        <f>C5+F5</f>
        <v>3867264.4836272039</v>
      </c>
      <c r="I5" s="6">
        <f>H5-G5</f>
        <v>51264.483627203852</v>
      </c>
      <c r="J5" s="3">
        <f>I5/G5</f>
        <v>1.3434089000839583E-2</v>
      </c>
    </row>
    <row r="6" spans="1:10" ht="17" x14ac:dyDescent="0.25">
      <c r="A6" s="5" t="s">
        <v>54</v>
      </c>
      <c r="B6">
        <f>'Variance Analysis '!B7</f>
        <v>936000</v>
      </c>
      <c r="C6">
        <f>'Variance Analysis '!C7</f>
        <v>959000</v>
      </c>
      <c r="D6" s="3">
        <f>C6/B6</f>
        <v>1.0245726495726495</v>
      </c>
      <c r="E6">
        <f>SUM('Monthly Data'!F12:F15)</f>
        <v>519000</v>
      </c>
      <c r="F6" s="6">
        <f>E6*D6</f>
        <v>531753.20512820513</v>
      </c>
      <c r="G6">
        <f>SUM('Monthly Data'!F4:F15)</f>
        <v>1455000</v>
      </c>
      <c r="H6" s="6">
        <f>C6+F6</f>
        <v>1490753.205128205</v>
      </c>
      <c r="I6" s="6">
        <f>H6-G6</f>
        <v>35753.205128205009</v>
      </c>
      <c r="J6" s="3">
        <f>I6/G6</f>
        <v>2.4572649572649492E-2</v>
      </c>
    </row>
    <row r="7" spans="1:10" x14ac:dyDescent="0.2">
      <c r="A7" t="s">
        <v>53</v>
      </c>
      <c r="B7">
        <f>'Variance Analysis '!B6</f>
        <v>1588000</v>
      </c>
      <c r="C7">
        <f>'Variance Analysis '!C6</f>
        <v>1483000</v>
      </c>
      <c r="D7" s="3">
        <f>C7/B7</f>
        <v>0.93387909319899243</v>
      </c>
      <c r="E7">
        <f>E4-E5</f>
        <v>956000</v>
      </c>
      <c r="F7" s="6">
        <f>F4-F5</f>
        <v>892788.41309823701</v>
      </c>
      <c r="G7">
        <f>G4-G5</f>
        <v>2544000</v>
      </c>
      <c r="H7" s="6">
        <f>H4-H5</f>
        <v>2375788.4130982365</v>
      </c>
      <c r="I7" s="6">
        <f>H7-G7</f>
        <v>-168211.58690176345</v>
      </c>
      <c r="J7" s="3">
        <f>I7/G7</f>
        <v>-6.6120906801007642E-2</v>
      </c>
    </row>
    <row r="8" spans="1:10" x14ac:dyDescent="0.2">
      <c r="A8" t="s">
        <v>55</v>
      </c>
      <c r="B8">
        <f>'Variance Analysis '!B8</f>
        <v>652000</v>
      </c>
      <c r="C8">
        <f>'Variance Analysis '!C8</f>
        <v>524000</v>
      </c>
      <c r="D8" s="3">
        <f>C8/B8</f>
        <v>0.80368098159509205</v>
      </c>
      <c r="E8">
        <f>E7-E6</f>
        <v>437000</v>
      </c>
      <c r="F8" s="6">
        <f>F7-F6</f>
        <v>361035.20797003189</v>
      </c>
      <c r="G8">
        <f>G7-G6</f>
        <v>1089000</v>
      </c>
      <c r="H8" s="6">
        <f>H7-H6</f>
        <v>885035.20797003154</v>
      </c>
      <c r="I8" s="6">
        <f>H8-G8</f>
        <v>-203964.79202996846</v>
      </c>
      <c r="J8" s="3">
        <f>I8/G8</f>
        <v>-0.1872954931404669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3717-67BF-B542-BA39-F2FA92AC0C56}">
  <dimension ref="A1:H8"/>
  <sheetViews>
    <sheetView workbookViewId="0">
      <selection activeCell="D29" sqref="D29"/>
    </sheetView>
  </sheetViews>
  <sheetFormatPr baseColWidth="10" defaultRowHeight="16" x14ac:dyDescent="0.2"/>
  <cols>
    <col min="2" max="2" width="27.33203125" customWidth="1"/>
    <col min="4" max="4" width="38.1640625" customWidth="1"/>
    <col min="6" max="6" width="22.5" customWidth="1"/>
    <col min="8" max="8" width="34.6640625" customWidth="1"/>
  </cols>
  <sheetData>
    <row r="1" spans="1:8" ht="24" x14ac:dyDescent="0.3">
      <c r="A1" s="13" t="s">
        <v>69</v>
      </c>
      <c r="B1" s="14"/>
      <c r="C1" s="14"/>
      <c r="D1" s="14"/>
      <c r="E1" s="14"/>
      <c r="F1" s="14"/>
      <c r="G1" s="14"/>
      <c r="H1" s="14"/>
    </row>
    <row r="3" spans="1:8" ht="22" x14ac:dyDescent="0.3">
      <c r="A3" s="8" t="s">
        <v>70</v>
      </c>
      <c r="B3" s="9"/>
      <c r="C3" s="8" t="s">
        <v>71</v>
      </c>
      <c r="D3" s="9"/>
      <c r="E3" s="8" t="s">
        <v>72</v>
      </c>
      <c r="F3" s="9"/>
      <c r="G3" s="8" t="s">
        <v>73</v>
      </c>
      <c r="H3" s="9"/>
    </row>
    <row r="4" spans="1:8" ht="24" x14ac:dyDescent="0.3">
      <c r="A4" s="15">
        <f>Forecast!G4</f>
        <v>6360000</v>
      </c>
      <c r="B4" s="16"/>
      <c r="C4" s="15">
        <f>Forecast!H4</f>
        <v>6243052.8967254404</v>
      </c>
      <c r="D4" s="16"/>
      <c r="E4" s="15">
        <f>Forecast!G8</f>
        <v>1089000</v>
      </c>
      <c r="F4" s="16"/>
      <c r="G4" s="17">
        <f>Forecast!H8</f>
        <v>885035.20797003154</v>
      </c>
      <c r="H4" s="18"/>
    </row>
    <row r="7" spans="1:8" ht="22" x14ac:dyDescent="0.3">
      <c r="A7" s="10" t="s">
        <v>74</v>
      </c>
      <c r="B7" s="11"/>
      <c r="C7" s="12" t="s">
        <v>75</v>
      </c>
      <c r="D7" s="7"/>
    </row>
    <row r="8" spans="1:8" ht="22" x14ac:dyDescent="0.3">
      <c r="A8" s="19">
        <f>Forecast!J4</f>
        <v>-1.8387909319899309E-2</v>
      </c>
      <c r="B8" s="20"/>
      <c r="C8" s="19">
        <f>Forecast!J8</f>
        <v>-0.1872954931404669</v>
      </c>
      <c r="D8" s="20"/>
    </row>
  </sheetData>
  <mergeCells count="13">
    <mergeCell ref="A7:B7"/>
    <mergeCell ref="A8:B8"/>
    <mergeCell ref="C7:D7"/>
    <mergeCell ref="C8:D8"/>
    <mergeCell ref="A1:H1"/>
    <mergeCell ref="A3:B3"/>
    <mergeCell ref="A4:B4"/>
    <mergeCell ref="C3:D3"/>
    <mergeCell ref="C4:D4"/>
    <mergeCell ref="E3:F3"/>
    <mergeCell ref="E4:F4"/>
    <mergeCell ref="G3:H3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Data</vt:lpstr>
      <vt:lpstr>Variance Analysis </vt:lpstr>
      <vt:lpstr>Forecast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Mahadi Alam</dc:creator>
  <cp:lastModifiedBy>Mahadi Alam</cp:lastModifiedBy>
  <dcterms:created xsi:type="dcterms:W3CDTF">2026-09-09T05:55:51Z</dcterms:created>
  <dcterms:modified xsi:type="dcterms:W3CDTF">2026-09-09T10:58:39Z</dcterms:modified>
</cp:coreProperties>
</file>